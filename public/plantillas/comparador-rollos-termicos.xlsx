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on" sheetId="1" state="visible" r:id="rId3"/>
  </sheets>
  <definedNames>
    <definedName name="_xlnm.Print_Area" localSheetId="0">'Comparacion'!$B$1:$D$55</definedName>
    <definedName name="COMPARADOR_ENCABEZADO">'Comparacion'!$B$2</definedName>
    <definedName name="COMPARADOR_EMPRESA">'Comparacion'!$B$3</definedName>
    <definedName name="COMPARADOR_VENDEDOR">'Comparacion'!$B$4</definedName>
    <definedName name="COMPARADOR_NOTA_EJEMPLO">'Comparacion'!$B$6</definedName>
    <definedName name="CLIENTE_PRECIO_CAJA">'Comparacion'!$C$10</definedName>
    <definedName name="CLIENTE_ROLLOS_CAJA">'Comparacion'!$C$11</definedName>
    <definedName name="CLIENTE_METROS_ROLLO">'Comparacion'!$C$12</definedName>
    <definedName name="CLIENTE_CAJAS_PEDIDO">'Comparacion'!$C$15</definedName>
    <definedName name="CLIENTE_SEMANAS">'Comparacion'!$C$16</definedName>
    <definedName name="NUESTRO_PRECIO_CAJA">'Comparacion'!$C$19</definedName>
    <definedName name="NUESTRO_ROLLOS_CAJA">'Comparacion'!$C$20</definedName>
    <definedName name="NUESTRO_METROS_ROLLO">'Comparacion'!$C$21</definedName>
    <definedName name="NUESTRO_CALIBRE">'Comparacion'!$C$22</definedName>
  </definedNames>
  <calcPr iterateCount="100" refMode="A1" iterate="false" iterateDelta="0.0001" fullCalcOnLoad="true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<sst xmlns="http://schemas.openxmlformats.org/spreadsheetml/2006/main" count="48" uniqueCount="46">
  <si>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Comparación de costo real de rollos térmicos</t>
  </si>
  <si>
    <t xml:space="preserve">Llene únicamente las celdas amarillas. Todo lo demás se calcula solo.</t>
  </si>
  <si>
    <t xml:space="preserve">Los números que vienen escritos son solo un ejemplo: reemplácelos por los suyos.</t>
  </si>
  <si>
    <t xml:space="preserve">1. Sus datos</t>
  </si>
  <si>
    <t xml:space="preserve">Lo que usted compra hoy. Esta información no sale de su computadora.</t>
  </si>
  <si>
    <t xml:space="preserve">Precio que paga por caja</t>
  </si>
  <si>
    <t xml:space="preserve">Rollos por caja</t>
  </si>
  <si>
    <t xml:space="preserve">Metros de papel por rollo</t>
  </si>
  <si>
    <t xml:space="preserve">¿No lo dice la caja? Nosotros le medimos su rollo actual sin costo</t>
  </si>
  <si>
    <t xml:space="preserve">y le entregamos la cifra exacta. Solo pídalo.</t>
  </si>
  <si>
    <t xml:space="preserve">Cajas que compra por pedido</t>
  </si>
  <si>
    <t xml:space="preserve">Cada cuántas semanas repite el pedido</t>
  </si>
  <si>
    <t xml:space="preserve">2. Nuestra oferta</t>
  </si>
  <si>
    <t xml:space="preserve">Datos suministrados por su vendedor.</t>
  </si>
  <si>
    <t xml:space="preserve">Precio por caja</t>
  </si>
  <si>
    <t xml:space="preserve">3. El dato de fondo</t>
  </si>
  <si>
    <t xml:space="preserve">Metros de papel por caja — el que compra hoy</t>
  </si>
  <si>
    <t xml:space="preserve">Metros de papel por caja — el nuestro</t>
  </si>
  <si>
    <t xml:space="preserve">Costo por metro — el que compra hoy</t>
  </si>
  <si>
    <t xml:space="preserve">Costo por metro — el nuestro</t>
  </si>
  <si>
    <t xml:space="preserve">4. Lo que le proponemos</t>
  </si>
  <si>
    <t xml:space="preserve">Le entregamos la misma cantidad de papel que consume hoy.</t>
  </si>
  <si>
    <t xml:space="preserve">Cajas nuestras que equivalen a su pedido actual</t>
  </si>
  <si>
    <t xml:space="preserve">Le dura (semanas)</t>
  </si>
  <si>
    <t xml:space="preserve">Hoy le dura (semanas)</t>
  </si>
  <si>
    <t xml:space="preserve">Lo que le cuesta hoy ese pedido</t>
  </si>
  <si>
    <t xml:space="preserve">Lo que le costaría con nosotros</t>
  </si>
  <si>
    <t xml:space="preserve">Ahorro en cada pedido</t>
  </si>
  <si>
    <t xml:space="preserve">Mismo papel, mismo tiempo, misma frecuencia de compra.</t>
  </si>
  <si>
    <t xml:space="preserve">5. En el año</t>
  </si>
  <si>
    <t xml:space="preserve">Pedidos al año</t>
  </si>
  <si>
    <t xml:space="preserve">Metros de papel que consume al año</t>
  </si>
  <si>
    <t xml:space="preserve">Gasto al año — como compra hoy</t>
  </si>
  <si>
    <t xml:space="preserve">Gasto al año — con nosotros</t>
  </si>
  <si>
    <t xml:space="preserve">Diferencia a su favor en el año</t>
  </si>
  <si>
    <t xml:space="preserve">6. Cómo se calcula</t>
  </si>
  <si>
    <t xml:space="preserve">El rollo no se consume por caja, se consume por metro. Dos rollos del mismo</t>
  </si>
  <si>
    <t xml:space="preserve">diámetro pueden traer metrajes muy distintos según el grosor del papel: mientras</t>
  </si>
  <si>
    <t xml:space="preserve">más grueso el papel, menos metros caben en el mismo diámetro.</t>
  </si>
  <si>
    <t xml:space="preserve">Metros por caja = rollos por caja x metros por rollo.</t>
  </si>
  <si>
    <t xml:space="preserve">Costo por metro = precio de la caja entre los metros que trae la caja.</t>
  </si>
  <si>
    <t xml:space="preserve">La propuesta cubre exactamente los mismos metros que usted consume hoy, en el</t>
  </si>
  <si>
    <t xml:space="preserve">mismo tiempo y con la misma frecuencia de pedido. Lo único que cambia es lo</t>
  </si>
  <si>
    <t xml:space="preserve">que paga.</t>
  </si>
  <si>
    <t xml:space="preserve">Todas las celdas amarillas son suyas. Puede llenarlas cuando quiera y</t>
  </si>
  <si>
    <t xml:space="preserve">comprobar usted mismo el resultado.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</si>
</sst>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#,##0.0"/>
    <numFmt numFmtId="168" formatCode="\$#,##0.00000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7A4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E8CC"/>
        <bgColor rgb="FFFFE8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325880" cy="454904"/>
    <xdr:pic>
      <xdr:nvPicPr>
        <xdr:cNvPr id="2" name="Logo" descr="Papelería Comerci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5880" cy="4549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28"/>
  </cols>
  <sheetData>
    <row r="1" customFormat="false" ht="36" hidden="false" customHeight="true" outlineLevel="0" collapsed="false">
      <c r="B1" s="2" t="s">
        <v>0</v>
      </c>
    </row>
    <row r="2" customFormat="false" ht="14" hidden="false" outlineLevel="0" collapsed="false">
      <c r="B2" s="3"/>
    </row>
    <row r="3" customFormat="false" ht="14" hidden="false" customHeight="true" outlineLevel="0" collapsed="false">
      <c r="B3" s="3"/>
    </row>
    <row r="4" customFormat="false" ht="14" hidden="false" customHeight="true" outlineLevel="0" collapsed="false">
      <c r="B4" s="4"/>
    </row>
    <row r="5" customFormat="false" ht="15" hidden="false" customHeight="true" outlineLevel="0" collapsed="false">
      <c r="B5" s="3" t="s">
        <v>1</v>
      </c>
    </row>
    <row r="6" customFormat="false" ht="15" hidden="false" customHeight="true" outlineLevel="0" collapsed="false">
      <c r="B6" s="4" t="s">
        <v>2</v>
      </c>
    </row>
    <row r="7" customFormat="false" ht="4" hidden="false" customHeight="true" outlineLevel="0" collapsed="false"/>
    <row r="8" customFormat="false" ht="15" hidden="false" customHeight="true" outlineLevel="0" collapsed="false">
      <c r="B8" s="5" t="s">
        <v>3</v>
      </c>
      <c r="C8" s="6"/>
    </row>
    <row r="9" customFormat="false" ht="15" hidden="false" customHeight="true" outlineLevel="0" collapsed="false">
      <c r="B9" s="4" t="s">
        <v>4</v>
      </c>
    </row>
    <row r="10" customFormat="false" ht="15" hidden="false" customHeight="true" outlineLevel="0" collapsed="false">
      <c r="B10" s="7" t="s">
        <v>5</v>
      </c>
      <c r="C10" s="8" t="n">
        <v>30</v>
      </c>
    </row>
    <row r="11" customFormat="false" ht="15" hidden="false" customHeight="true" outlineLevel="0" collapsed="false">
      <c r="B11" s="7" t="s">
        <v>6</v>
      </c>
      <c r="C11" s="9" t="n">
        <v>50</v>
      </c>
    </row>
    <row r="12" customFormat="false" ht="15" hidden="false" customHeight="true" outlineLevel="0" collapsed="false">
      <c r="B12" s="7" t="s">
        <v>7</v>
      </c>
      <c r="C12" s="10" t="n">
        <v>45</v>
      </c>
    </row>
    <row r="13" customFormat="false" ht="15" hidden="false" customHeight="true" outlineLevel="0" collapsed="false">
      <c r="B13" s="4" t="inlineStr">
        <is>
          <t xml:space="preserve">Ojo: el «80 × 70» de la caja son milímetros —ancho y diámetro—, y no dice cuántos metros trae.</t>
        </is>
      </c>
    </row>
    <row r="14" customFormat="false" ht="15" hidden="false" customHeight="true" outlineLevel="0" collapsed="false">
      <c r="B14" s="4" t="inlineStr">
        <is>
          <t xml:space="preserve">¿No lo dice la caja? Le medimos su rollo sin costo y le entregamos la cifra exacta. Solo pídalo.</t>
        </is>
      </c>
    </row>
    <row r="15" customFormat="false" ht="15" hidden="false" customHeight="true" outlineLevel="0" collapsed="false">
      <c r="B15" s="7" t="s">
        <v>10</v>
      </c>
      <c r="C15" s="9" t="n">
        <v>100</v>
      </c>
    </row>
    <row r="16" customFormat="false" ht="15" hidden="false" customHeight="true" outlineLevel="0" collapsed="false">
      <c r="B16" s="7" t="s">
        <v>11</v>
      </c>
      <c r="C16" s="10" t="n">
        <v>8</v>
      </c>
    </row>
    <row r="17" customFormat="false" ht="4" hidden="false" customHeight="true" outlineLevel="0" collapsed="false"/>
    <row r="18" customFormat="false" ht="15" hidden="false" customHeight="true" outlineLevel="0" collapsed="false">
      <c r="B18" s="5" t="s">
        <v>12</v>
      </c>
      <c r="C18" s="6"/>
    </row>
    <row r="19" customFormat="false" ht="15" hidden="false" customHeight="true" outlineLevel="0" collapsed="false">
      <c r="B19" s="7" t="s">
        <v>14</v>
      </c>
      <c r="C19" s="11" t="n">
        <v>36</v>
      </c>
    </row>
    <row r="20" customFormat="false" ht="15" hidden="false" customHeight="true" outlineLevel="0" collapsed="false">
      <c r="B20" s="7" t="s">
        <v>6</v>
      </c>
      <c r="C20" s="12" t="n">
        <v>50</v>
      </c>
    </row>
    <row r="21" customFormat="false" ht="15" hidden="false" customHeight="true" outlineLevel="0" collapsed="false">
      <c r="B21" s="7" t="s">
        <v>7</v>
      </c>
      <c r="C21" s="13" t="n">
        <v>60</v>
      </c>
    </row>
    <row r="22" customFormat="false" ht="15" hidden="false" customHeight="true" outlineLevel="0" collapsed="false">
      <c r="B22" s="7" t="inlineStr">
        <is>
          <t xml:space="preserve">Calibre del papel (gramos por metro cuadrado)</t>
        </is>
      </c>
      <c r="C22" s="12" t="n">
        <v>48</v>
      </c>
    </row>
    <row r="23" customFormat="false" ht="4" hidden="false" customHeight="true" outlineLevel="0" collapsed="false"/>
    <row r="24" customFormat="false" ht="15" hidden="false" customHeight="true" outlineLevel="0" collapsed="false">
      <c r="B24" s="5" t="s">
        <v>15</v>
      </c>
      <c r="C24" s="6"/>
    </row>
    <row r="25" customFormat="false" ht="15" hidden="false" customHeight="true" outlineLevel="0" collapsed="false">
      <c r="B25" s="7" t="s">
        <v>16</v>
      </c>
      <c r="C25" s="14" t="n">
        <f aca="false">IFERROR(C11*C12,"")</f>
      </c>
    </row>
    <row r="26" customFormat="false" ht="15" hidden="false" customHeight="true" outlineLevel="0" collapsed="false">
      <c r="B26" s="7" t="s">
        <v>17</v>
      </c>
      <c r="C26" s="14" t="n">
        <f aca="false">IFERROR(C20*C21,"")</f>
      </c>
    </row>
    <row r="27" customFormat="false" ht="15" hidden="false" customHeight="true" outlineLevel="0" collapsed="false">
      <c r="B27" s="7" t="s">
        <v>18</v>
      </c>
      <c r="C27" s="15" t="n">
        <f aca="false">IFERROR(C10/C25,"")</f>
      </c>
    </row>
    <row r="28" customFormat="false" ht="15" hidden="false" customHeight="true" outlineLevel="0" collapsed="false">
      <c r="B28" s="16" t="s">
        <v>19</v>
      </c>
      <c r="C28" s="17" t="n">
        <f aca="false">IFERROR(C19/C26,"")</f>
      </c>
    </row>
    <row r="29" customFormat="false" ht="4" hidden="false" customHeight="true" outlineLevel="0" collapsed="false"/>
    <row r="30" customFormat="false" ht="15" hidden="false" customHeight="true" outlineLevel="0" collapsed="false">
      <c r="B30" s="5" t="s">
        <v>20</v>
      </c>
      <c r="C30" s="6"/>
    </row>
    <row r="31" customFormat="false" ht="15" hidden="false" customHeight="true" outlineLevel="0" collapsed="false">
      <c r="B31" s="4" t="s">
        <v>21</v>
      </c>
    </row>
    <row r="32" customFormat="false" ht="15" hidden="false" customHeight="true" outlineLevel="0" collapsed="false">
      <c r="B32" s="7" t="s">
        <v>22</v>
      </c>
      <c r="C32" s="14" t="n">
        <f aca="false">IFERROR(ROUNDUP((C15*C25)/C26,0),"")</f>
      </c>
    </row>
    <row r="33" customFormat="false" ht="15" hidden="false" customHeight="true" outlineLevel="0" collapsed="false">
      <c r="B33" s="7" t="s">
        <v>23</v>
      </c>
      <c r="C33" s="18" t="n">
        <f aca="false">IFERROR((C32*C26)/((C15*C25)/C16),"")</f>
      </c>
    </row>
    <row r="34" customFormat="false" ht="15" hidden="false" customHeight="true" outlineLevel="0" collapsed="false">
      <c r="B34" s="7" t="s">
        <v>24</v>
      </c>
      <c r="C34" s="18" t="n">
        <f aca="false">IFERROR(C16,"")</f>
      </c>
    </row>
    <row r="35" customFormat="false" ht="15" hidden="false" customHeight="true" outlineLevel="0" collapsed="false">
      <c r="B35" s="7" t="s">
        <v>25</v>
      </c>
      <c r="C35" s="19" t="n">
        <f aca="false">IFERROR(C15*C10,"")</f>
      </c>
    </row>
    <row r="36" customFormat="false" ht="15" hidden="false" customHeight="true" outlineLevel="0" collapsed="false">
      <c r="B36" s="16" t="s">
        <v>26</v>
      </c>
      <c r="C36" s="20" t="n">
        <f aca="false">IFERROR(C32*C19,"")</f>
      </c>
    </row>
    <row r="37" customFormat="false" ht="15" hidden="false" customHeight="true" outlineLevel="0" collapsed="false">
      <c r="B37" s="16" t="s">
        <v>27</v>
      </c>
      <c r="C37" s="20" t="n">
        <f aca="false">IFERROR(C35-C36,"")</f>
      </c>
    </row>
    <row r="38" customFormat="false" ht="15" hidden="false" customHeight="true" outlineLevel="0" collapsed="false">
      <c r="B38" s="4" t="s">
        <v>28</v>
      </c>
    </row>
    <row r="39" customFormat="false" ht="4" hidden="false" customHeight="true" outlineLevel="0" collapsed="false"/>
    <row r="40" customFormat="false" ht="15" hidden="false" customHeight="true" outlineLevel="0" collapsed="false">
      <c r="B40" s="5" t="s">
        <v>29</v>
      </c>
      <c r="C40" s="6"/>
    </row>
    <row r="41" customFormat="false" ht="15" hidden="false" customHeight="true" outlineLevel="0" collapsed="false">
      <c r="B41" s="7" t="s">
        <v>30</v>
      </c>
      <c r="C41" s="18" t="n">
        <f aca="false">IFERROR(52/C16,"")</f>
      </c>
    </row>
    <row r="42" customFormat="false" ht="15" hidden="false" customHeight="true" outlineLevel="0" collapsed="false">
      <c r="B42" s="7" t="s">
        <v>31</v>
      </c>
      <c r="C42" s="14" t="n">
        <f aca="false">IFERROR(C15*C25*(52/C16),"")</f>
      </c>
    </row>
    <row r="43" customFormat="false" ht="15" hidden="false" customHeight="true" outlineLevel="0" collapsed="false">
      <c r="B43" s="7" t="s">
        <v>32</v>
      </c>
      <c r="C43" s="19" t="n">
        <f aca="false">IFERROR(C15*C10*(52/C16),"")</f>
      </c>
    </row>
    <row r="44" customFormat="false" ht="15" hidden="false" customHeight="true" outlineLevel="0" collapsed="false">
      <c r="B44" s="7" t="s">
        <v>33</v>
      </c>
      <c r="C44" s="19" t="n">
        <f aca="false">IFERROR(C32*(52/C16)*C19,"")</f>
      </c>
    </row>
    <row r="45" customFormat="false" ht="15" hidden="false" customHeight="true" outlineLevel="0" collapsed="false">
      <c r="B45" s="16" t="s">
        <v>34</v>
      </c>
      <c r="C45" s="20" t="n">
        <f aca="false">IFERROR(C43-C44,"")</f>
      </c>
    </row>
    <row r="46" customFormat="false" ht="4" hidden="false" customHeight="true" outlineLevel="0" collapsed="false"/>
    <row r="47" customFormat="false" ht="15" hidden="false" customHeight="true" outlineLevel="0" collapsed="false">
      <c r="B47" s="5" t="s">
        <v>35</v>
      </c>
      <c r="C47" s="6"/>
    </row>
    <row r="48" customFormat="false" ht="15" hidden="false" customHeight="true" outlineLevel="0" collapsed="false">
      <c r="B48" s="7" t="inlineStr">
        <is>
          <t xml:space="preserve">El rollo se consume por metro, no por caja. El calibre en gramos por metro cuadrado es el grosor:</t>
        </is>
      </c>
    </row>
    <row r="49" customFormat="false" ht="15" hidden="false" customHeight="true" outlineLevel="0" collapsed="false">
      <c r="B49" s="7" t="inlineStr">
        <is>
          <t xml:space="preserve">mientras más grueso el papel, menos metros caben en el mismo diámetro de rollo.</t>
        </is>
      </c>
    </row>
    <row r="50" customFormat="false" ht="4" hidden="false" customHeight="true" outlineLevel="0" collapsed="false">
      <c r="B50" s="7"/>
    </row>
    <row r="51" customFormat="false" ht="15" hidden="false" customHeight="true" outlineLevel="0" collapsed="false">
      <c r="B51" s="7" t="inlineStr">
        <is>
          <t xml:space="preserve">Metros por caja = rollos × metros por rollo. Costo por metro = precio de la caja ÷ metros que trae.</t>
        </is>
      </c>
    </row>
    <row r="52" customFormat="false" ht="4" hidden="false" customHeight="true" outlineLevel="0" collapsed="false">
      <c r="B52" s="7"/>
    </row>
    <row r="53" customFormat="false" ht="15" hidden="false" customHeight="true" outlineLevel="0" collapsed="false">
      <c r="B53" s="7" t="inlineStr">
        <is>
          <t xml:space="preserve">Cubre los mismos metros, en el mismo tiempo y con la misma frecuencia. Solo cambia lo que paga.</t>
        </is>
      </c>
    </row>
    <row r="54" customFormat="false" ht="4" hidden="false" customHeight="true" outlineLevel="0" collapsed="false">
      <c r="B54" s="7"/>
    </row>
    <row r="55" customFormat="false" ht="15" hidden="false" customHeight="true" outlineLevel="0" collapsed="false">
      <c r="B55" s="7" t="inlineStr">
        <is>
          <t xml:space="preserve">Todas las celdas amarillas son suyas: llénelas cuando quiera y compruebe usted mismo el resultado.</t>
        </is>
      </c>
    </row>
  </sheetData>
  <printOptions headings="false" gridLines="false" gridLinesSet="true" horizontalCentered="false" verticalCentered="false"/>
  <pageMargins left="0.25" right="0.25" top="0.25" bottom="0.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2026-09-02T01:25:50Z</dcterms:created>
  <dc:creator>openpyxl</dc:creator>
  <dc:description/>
  <dc:language>en-US</dc:language>
  <cp:lastModifiedBy/>
  <dcterms:modified xsi:type="dcterms:W3CDTF">2026-09-02T01:26:00Z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