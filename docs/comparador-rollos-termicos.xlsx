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c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<sst xmlns="http://schemas.openxmlformats.org/spreadsheetml/2006/main" count="48" uniqueCount="46">
  <si>
    <t xml:space="preserve">Comparación de costo real de rollos térmicos</t>
  </si>
  <si>
    <t xml:space="preserve">Llene únicamente las celdas amarillas. Todo lo demás se calcula solo.</t>
  </si>
  <si>
    <t xml:space="preserve">Los números que vienen escritos son solo un ejemplo: reemplácelos por los suyos.</t>
  </si>
  <si>
    <t xml:space="preserve">1. Sus datos</t>
  </si>
  <si>
    <t xml:space="preserve">Lo que usted compra hoy. Esta información no sale de su computadora.</t>
  </si>
  <si>
    <t xml:space="preserve">Precio que paga por caja</t>
  </si>
  <si>
    <t xml:space="preserve">Rollos por caja</t>
  </si>
  <si>
    <t xml:space="preserve">Metros de papel por rollo</t>
  </si>
  <si>
    <t xml:space="preserve">¿No lo dice la caja? Nosotros le medimos su rollo actual sin costo</t>
  </si>
  <si>
    <t xml:space="preserve">y le entregamos la cifra exacta. Solo pídalo.</t>
  </si>
  <si>
    <t xml:space="preserve">Cajas que compra por pedido</t>
  </si>
  <si>
    <t xml:space="preserve">Cada cuántas semanas repite el pedido</t>
  </si>
  <si>
    <t xml:space="preserve">2. Nuestra oferta</t>
  </si>
  <si>
    <t xml:space="preserve">Datos suministrados por su vendedor.</t>
  </si>
  <si>
    <t xml:space="preserve">Precio por caja</t>
  </si>
  <si>
    <t xml:space="preserve">3. El dato de fondo</t>
  </si>
  <si>
    <t xml:space="preserve">Metros de papel por caja — el que compra hoy</t>
  </si>
  <si>
    <t xml:space="preserve">Metros de papel por caja — el nuestro</t>
  </si>
  <si>
    <t xml:space="preserve">Costo por metro — el que compra hoy</t>
  </si>
  <si>
    <t xml:space="preserve">Costo por metro — el nuestro</t>
  </si>
  <si>
    <t xml:space="preserve">4. Lo que le proponemos</t>
  </si>
  <si>
    <t xml:space="preserve">Le entregamos la misma cantidad de papel que consume hoy.</t>
  </si>
  <si>
    <t xml:space="preserve">Cajas nuestras que equivalen a su pedido actual</t>
  </si>
  <si>
    <t xml:space="preserve">Le dura (semanas)</t>
  </si>
  <si>
    <t xml:space="preserve">Hoy le dura (semanas)</t>
  </si>
  <si>
    <t xml:space="preserve">Lo que le cuesta hoy ese pedido</t>
  </si>
  <si>
    <t xml:space="preserve">Lo que le costaría con nosotros</t>
  </si>
  <si>
    <t xml:space="preserve">Ahorro en cada pedido</t>
  </si>
  <si>
    <t xml:space="preserve">Mismo papel, mismo tiempo, misma frecuencia de compra.</t>
  </si>
  <si>
    <t xml:space="preserve">5. En el año</t>
  </si>
  <si>
    <t xml:space="preserve">Pedidos al año</t>
  </si>
  <si>
    <t xml:space="preserve">Metros de papel que consume al año</t>
  </si>
  <si>
    <t xml:space="preserve">Gasto al año — como compra hoy</t>
  </si>
  <si>
    <t xml:space="preserve">Gasto al año — con nosotros</t>
  </si>
  <si>
    <t xml:space="preserve">Diferencia a su favor en el año</t>
  </si>
  <si>
    <t xml:space="preserve">6. Cómo se calcula</t>
  </si>
  <si>
    <t xml:space="preserve">El rollo no se consume por caja, se consume por metro. Dos rollos del mismo</t>
  </si>
  <si>
    <t xml:space="preserve">diámetro pueden traer metrajes muy distintos según el grosor del papel: mientras</t>
  </si>
  <si>
    <t xml:space="preserve">más grueso el papel, menos metros caben en el mismo diámetro.</t>
  </si>
  <si>
    <t xml:space="preserve">Metros por caja = rollos por caja x metros por rollo.</t>
  </si>
  <si>
    <t xml:space="preserve">Costo por metro = precio de la caja entre los metros que trae la caja.</t>
  </si>
  <si>
    <t xml:space="preserve">La propuesta cubre exactamente los mismos metros que usted consume hoy, en el</t>
  </si>
  <si>
    <t xml:space="preserve">mismo tiempo y con la misma frecuencia de pedido. Lo único que cambia es lo</t>
  </si>
  <si>
    <t xml:space="preserve">que paga.</t>
  </si>
  <si>
    <t xml:space="preserve">Todas las celdas amarillas son suyas. Puede llenarlas cuando quiera y</t>
  </si>
  <si>
    <t xml:space="preserve">comprobar usted mismo el resultado.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</si>
</sst>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"/>
    <numFmt numFmtId="167" formatCode="#,##0.0"/>
    <numFmt numFmtId="168" formatCode="\$#,##0.00000"/>
    <numFmt numFmtId="169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4"/>
    <col collapsed="false" customWidth="true" hidden="false" outlineLevel="0" max="3" min="3" style="1" width="18"/>
    <col collapsed="false" customWidth="true" hidden="false" outlineLevel="0" max="4" min="4" style="1" width="3"/>
  </cols>
  <sheetData>
    <row r="1" customFormat="false" ht="17.2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3" customFormat="false" ht="15" hidden="false" customHeight="true" outlineLevel="0" collapsed="false">
      <c r="B3" s="4" t="s">
        <v>2</v>
      </c>
    </row>
    <row r="5" customFormat="false" ht="19.5" hidden="false" customHeight="true" outlineLevel="0" collapsed="false">
      <c r="B5" s="5" t="s">
        <v>3</v>
      </c>
      <c r="C5" s="6"/>
    </row>
    <row r="6" customFormat="false" ht="15" hidden="false" customHeight="true" outlineLevel="0" collapsed="false">
      <c r="B6" s="4" t="s">
        <v>4</v>
      </c>
    </row>
    <row r="7" customFormat="false" ht="15" hidden="false" customHeight="true" outlineLevel="0" collapsed="false">
      <c r="B7" s="7" t="s">
        <v>5</v>
      </c>
      <c r="C7" s="8" t="n">
        <v>30</v>
      </c>
    </row>
    <row r="8" customFormat="false" ht="15" hidden="false" customHeight="true" outlineLevel="0" collapsed="false">
      <c r="B8" s="7" t="s">
        <v>6</v>
      </c>
      <c r="C8" s="9" t="n">
        <v>50</v>
      </c>
    </row>
    <row r="9" customFormat="false" ht="15" hidden="false" customHeight="true" outlineLevel="0" collapsed="false">
      <c r="B9" s="7" t="s">
        <v>7</v>
      </c>
      <c r="C9" s="10" t="n">
        <v>45</v>
      </c>
    </row>
    <row r="10" customFormat="false" ht="15" hidden="false" customHeight="true" outlineLevel="0" collapsed="false">
      <c r="B10" s="4" t="s">
        <v>8</v>
      </c>
    </row>
    <row r="11" customFormat="false" ht="15" hidden="false" customHeight="true" outlineLevel="0" collapsed="false">
      <c r="B11" s="4" t="s">
        <v>9</v>
      </c>
    </row>
    <row r="12" customFormat="false" ht="15" hidden="false" customHeight="true" outlineLevel="0" collapsed="false">
      <c r="B12" s="7" t="s">
        <v>10</v>
      </c>
      <c r="C12" s="9" t="n">
        <v>100</v>
      </c>
    </row>
    <row r="13" customFormat="false" ht="15" hidden="false" customHeight="true" outlineLevel="0" collapsed="false">
      <c r="B13" s="7" t="s">
        <v>11</v>
      </c>
      <c r="C13" s="10" t="n">
        <v>8</v>
      </c>
    </row>
    <row r="15" customFormat="false" ht="19.5" hidden="false" customHeight="true" outlineLevel="0" collapsed="false">
      <c r="B15" s="5" t="s">
        <v>12</v>
      </c>
      <c r="C15" s="6"/>
    </row>
    <row r="16" customFormat="false" ht="15" hidden="false" customHeight="true" outlineLevel="0" collapsed="false">
      <c r="B16" s="4" t="s">
        <v>13</v>
      </c>
    </row>
    <row r="17" customFormat="false" ht="15" hidden="false" customHeight="true" outlineLevel="0" collapsed="false">
      <c r="B17" s="7" t="s">
        <v>14</v>
      </c>
      <c r="C17" s="11" t="n">
        <v>36</v>
      </c>
    </row>
    <row r="18" customFormat="false" ht="15" hidden="false" customHeight="true" outlineLevel="0" collapsed="false">
      <c r="B18" s="7" t="s">
        <v>6</v>
      </c>
      <c r="C18" s="12" t="n">
        <v>50</v>
      </c>
    </row>
    <row r="19" customFormat="false" ht="15" hidden="false" customHeight="true" outlineLevel="0" collapsed="false">
      <c r="B19" s="7" t="s">
        <v>7</v>
      </c>
      <c r="C19" s="13" t="n">
        <v>60</v>
      </c>
    </row>
    <row r="21" customFormat="false" ht="19.5" hidden="false" customHeight="true" outlineLevel="0" collapsed="false">
      <c r="B21" s="5" t="s">
        <v>15</v>
      </c>
      <c r="C21" s="6"/>
    </row>
    <row r="22" customFormat="false" ht="15" hidden="false" customHeight="true" outlineLevel="0" collapsed="false">
      <c r="B22" s="7" t="s">
        <v>16</v>
      </c>
      <c r="C22" s="14" t="n">
        <f aca="false">IFERROR(C8*C9,"")</f>
        <v>2250</v>
      </c>
    </row>
    <row r="23" customFormat="false" ht="15" hidden="false" customHeight="true" outlineLevel="0" collapsed="false">
      <c r="B23" s="7" t="s">
        <v>17</v>
      </c>
      <c r="C23" s="14" t="n">
        <f aca="false">IFERROR(C18*C19,"")</f>
        <v>3000</v>
      </c>
    </row>
    <row r="24" customFormat="false" ht="15" hidden="false" customHeight="true" outlineLevel="0" collapsed="false">
      <c r="B24" s="7" t="s">
        <v>18</v>
      </c>
      <c r="C24" s="15" t="n">
        <f aca="false">IFERROR(C7/C22,"")</f>
        <v>0.0133333333333333</v>
      </c>
    </row>
    <row r="25" customFormat="false" ht="15" hidden="false" customHeight="true" outlineLevel="0" collapsed="false">
      <c r="B25" s="16" t="s">
        <v>19</v>
      </c>
      <c r="C25" s="17" t="n">
        <f aca="false">IFERROR(C17/C23,"")</f>
        <v>0.012</v>
      </c>
    </row>
    <row r="27" customFormat="false" ht="19.5" hidden="false" customHeight="true" outlineLevel="0" collapsed="false">
      <c r="B27" s="5" t="s">
        <v>20</v>
      </c>
      <c r="C27" s="6"/>
    </row>
    <row r="28" customFormat="false" ht="15" hidden="false" customHeight="true" outlineLevel="0" collapsed="false">
      <c r="B28" s="4" t="s">
        <v>21</v>
      </c>
    </row>
    <row r="29" customFormat="false" ht="15" hidden="false" customHeight="true" outlineLevel="0" collapsed="false">
      <c r="B29" s="7" t="s">
        <v>22</v>
      </c>
      <c r="C29" s="14" t="n">
        <f aca="false">IFERROR(ROUNDUP((C12*C22)/C23,0),"")</f>
        <v>75</v>
      </c>
    </row>
    <row r="30" customFormat="false" ht="15" hidden="false" customHeight="true" outlineLevel="0" collapsed="false">
      <c r="B30" s="7" t="s">
        <v>23</v>
      </c>
      <c r="C30" s="18" t="n">
        <f aca="false">IFERROR((C29*C23)/((C12*C22)/C13),"")</f>
        <v>8</v>
      </c>
    </row>
    <row r="31" customFormat="false" ht="15" hidden="false" customHeight="true" outlineLevel="0" collapsed="false">
      <c r="B31" s="7" t="s">
        <v>24</v>
      </c>
      <c r="C31" s="18" t="n">
        <f aca="false">IFERROR(C13,"")</f>
        <v>8</v>
      </c>
    </row>
    <row r="32" customFormat="false" ht="15" hidden="false" customHeight="true" outlineLevel="0" collapsed="false">
      <c r="B32" s="7" t="s">
        <v>25</v>
      </c>
      <c r="C32" s="19" t="n">
        <f aca="false">IFERROR(C12*C7,"")</f>
        <v>3000</v>
      </c>
    </row>
    <row r="33" customFormat="false" ht="15" hidden="false" customHeight="true" outlineLevel="0" collapsed="false">
      <c r="B33" s="16" t="s">
        <v>26</v>
      </c>
      <c r="C33" s="20" t="n">
        <f aca="false">IFERROR(C29*C17,"")</f>
        <v>2700</v>
      </c>
    </row>
    <row r="34" customFormat="false" ht="15" hidden="false" customHeight="true" outlineLevel="0" collapsed="false">
      <c r="B34" s="16" t="s">
        <v>27</v>
      </c>
      <c r="C34" s="20" t="n">
        <f aca="false">IFERROR(C32-C33,"")</f>
        <v>300</v>
      </c>
    </row>
    <row r="35" customFormat="false" ht="15" hidden="false" customHeight="true" outlineLevel="0" collapsed="false">
      <c r="B35" s="4" t="s">
        <v>28</v>
      </c>
    </row>
    <row r="37" customFormat="false" ht="19.5" hidden="false" customHeight="true" outlineLevel="0" collapsed="false">
      <c r="B37" s="5" t="s">
        <v>29</v>
      </c>
      <c r="C37" s="6"/>
    </row>
    <row r="38" customFormat="false" ht="15" hidden="false" customHeight="true" outlineLevel="0" collapsed="false">
      <c r="B38" s="7" t="s">
        <v>30</v>
      </c>
      <c r="C38" s="18" t="n">
        <f aca="false">IFERROR(52/C13,"")</f>
        <v>6.5</v>
      </c>
    </row>
    <row r="39" customFormat="false" ht="15" hidden="false" customHeight="true" outlineLevel="0" collapsed="false">
      <c r="B39" s="7" t="s">
        <v>31</v>
      </c>
      <c r="C39" s="14" t="n">
        <f aca="false">IFERROR(C12*C22*(52/C13),"")</f>
        <v>1462500</v>
      </c>
    </row>
    <row r="40" customFormat="false" ht="15" hidden="false" customHeight="true" outlineLevel="0" collapsed="false">
      <c r="B40" s="7" t="s">
        <v>32</v>
      </c>
      <c r="C40" s="19" t="n">
        <f aca="false">IFERROR(C12*C7*(52/C13),"")</f>
        <v>19500</v>
      </c>
    </row>
    <row r="41" customFormat="false" ht="15" hidden="false" customHeight="true" outlineLevel="0" collapsed="false">
      <c r="B41" s="7" t="s">
        <v>33</v>
      </c>
      <c r="C41" s="19" t="n">
        <f aca="false">IFERROR(C29*(52/C13)*C17,"")</f>
        <v>17550</v>
      </c>
    </row>
    <row r="42" customFormat="false" ht="15" hidden="false" customHeight="true" outlineLevel="0" collapsed="false">
      <c r="B42" s="16" t="s">
        <v>34</v>
      </c>
      <c r="C42" s="20" t="n">
        <f aca="false">IFERROR(C40-C41,"")</f>
        <v>1950</v>
      </c>
    </row>
    <row r="44" customFormat="false" ht="19.5" hidden="false" customHeight="true" outlineLevel="0" collapsed="false">
      <c r="B44" s="5" t="s">
        <v>35</v>
      </c>
      <c r="C44" s="6"/>
    </row>
    <row r="45" customFormat="false" ht="15" hidden="false" customHeight="true" outlineLevel="0" collapsed="false">
      <c r="B45" s="7" t="s">
        <v>36</v>
      </c>
    </row>
    <row r="46" customFormat="false" ht="15" hidden="false" customHeight="true" outlineLevel="0" collapsed="false">
      <c r="B46" s="7" t="s">
        <v>37</v>
      </c>
    </row>
    <row r="47" customFormat="false" ht="15" hidden="false" customHeight="true" outlineLevel="0" collapsed="false">
      <c r="B47" s="7" t="s">
        <v>38</v>
      </c>
    </row>
    <row r="48" customFormat="false" ht="15" hidden="false" customHeight="true" outlineLevel="0" collapsed="false">
      <c r="B48" s="7"/>
    </row>
    <row r="49" customFormat="false" ht="15" hidden="false" customHeight="true" outlineLevel="0" collapsed="false">
      <c r="B49" s="7" t="s">
        <v>39</v>
      </c>
    </row>
    <row r="50" customFormat="false" ht="15" hidden="false" customHeight="true" outlineLevel="0" collapsed="false">
      <c r="B50" s="7" t="s">
        <v>40</v>
      </c>
    </row>
    <row r="51" customFormat="false" ht="15" hidden="false" customHeight="true" outlineLevel="0" collapsed="false">
      <c r="B51" s="7"/>
    </row>
    <row r="52" customFormat="false" ht="15" hidden="false" customHeight="true" outlineLevel="0" collapsed="false">
      <c r="B52" s="7" t="s">
        <v>41</v>
      </c>
    </row>
    <row r="53" customFormat="false" ht="15" hidden="false" customHeight="true" outlineLevel="0" collapsed="false">
      <c r="B53" s="7" t="s">
        <v>42</v>
      </c>
    </row>
    <row r="54" customFormat="false" ht="15" hidden="false" customHeight="true" outlineLevel="0" collapsed="false">
      <c r="B54" s="7" t="s">
        <v>43</v>
      </c>
    </row>
    <row r="55" customFormat="false" ht="15" hidden="false" customHeight="true" outlineLevel="0" collapsed="false">
      <c r="B55" s="7"/>
    </row>
    <row r="56" customFormat="false" ht="15" hidden="false" customHeight="true" outlineLevel="0" collapsed="false">
      <c r="B56" s="7" t="s">
        <v>44</v>
      </c>
    </row>
    <row r="57" customFormat="false" ht="15" hidden="false" customHeight="true" outlineLevel="0" collapsed="false">
      <c r="B57" s="7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2026-09-02T01:25:50Z</dcterms:created>
  <dc:creator>openpyxl</dc:creator>
  <dc:description/>
  <dc:language>en-US</dc:language>
  <cp:lastModifiedBy/>
  <dcterms:modified xsi:type="dcterms:W3CDTF">2026-09-02T01:26:00Z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